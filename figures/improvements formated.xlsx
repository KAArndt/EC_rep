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ndt.WHRC\OneDrive - Woodwell Climate Research Center\Documents\GitHub\EC_rep\figures\"/>
    </mc:Choice>
  </mc:AlternateContent>
  <xr:revisionPtr revIDLastSave="0" documentId="13_ncr:1_{1FB0C085-8A76-46A4-A09F-12F609FF3BED}" xr6:coauthVersionLast="47" xr6:coauthVersionMax="47" xr10:uidLastSave="{00000000-0000-0000-0000-000000000000}"/>
  <bookViews>
    <workbookView xWindow="28695" yWindow="0" windowWidth="14610" windowHeight="15585" xr2:uid="{C98AFE59-6AEC-475A-A8A9-A9FDACD50387}"/>
  </bookViews>
  <sheets>
    <sheet name="improvements form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3" i="1"/>
  <c r="O3" i="1"/>
  <c r="O4" i="1"/>
  <c r="O5" i="1"/>
  <c r="O6" i="1"/>
  <c r="O7" i="1"/>
  <c r="O8" i="1"/>
  <c r="O9" i="1"/>
  <c r="O10" i="1"/>
  <c r="O11" i="1"/>
  <c r="O12" i="1"/>
  <c r="O13" i="1"/>
  <c r="O14" i="1"/>
  <c r="M4" i="1"/>
  <c r="M5" i="1"/>
  <c r="M6" i="1"/>
  <c r="M7" i="1"/>
  <c r="M8" i="1"/>
  <c r="M9" i="1"/>
  <c r="M10" i="1"/>
  <c r="M11" i="1"/>
  <c r="M12" i="1"/>
  <c r="M13" i="1"/>
  <c r="M14" i="1"/>
  <c r="M3" i="1"/>
  <c r="L4" i="1"/>
  <c r="L5" i="1"/>
  <c r="L6" i="1"/>
  <c r="L7" i="1"/>
  <c r="L8" i="1"/>
  <c r="L9" i="1"/>
  <c r="L10" i="1"/>
  <c r="L11" i="1"/>
  <c r="L12" i="1"/>
  <c r="L13" i="1"/>
  <c r="L14" i="1"/>
  <c r="L3" i="1"/>
  <c r="S3" i="1" l="1"/>
  <c r="P3" i="1"/>
</calcChain>
</file>

<file path=xl/sharedStrings.xml><?xml version="1.0" encoding="utf-8"?>
<sst xmlns="http://schemas.openxmlformats.org/spreadsheetml/2006/main" count="30" uniqueCount="19">
  <si>
    <t>ER1 Threshold</t>
  </si>
  <si>
    <t>ER4 Threshold</t>
  </si>
  <si>
    <t>Base</t>
  </si>
  <si>
    <t>Improved</t>
  </si>
  <si>
    <t>ABCFlux</t>
  </si>
  <si>
    <t>Area Improved</t>
  </si>
  <si>
    <t>Net Improvement</t>
  </si>
  <si>
    <t>Whole Domain</t>
  </si>
  <si>
    <t>Growing Season CO2</t>
  </si>
  <si>
    <t>Growing Season CH4</t>
  </si>
  <si>
    <t>Year-round CO2</t>
  </si>
  <si>
    <t>Year-round CH4</t>
  </si>
  <si>
    <t>Boreal</t>
  </si>
  <si>
    <t>Tundra</t>
  </si>
  <si>
    <t>Scenario</t>
  </si>
  <si>
    <t>Region</t>
  </si>
  <si>
    <t>ER1</t>
  </si>
  <si>
    <t>ER4</t>
  </si>
  <si>
    <t>ABC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</si>
</sst>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16" fillId="33" borderId="0" xfId="0" applyFont="1" applyFill="1" applyAlignment="1">
      <alignment horizontal="center" vertical="center"/>
    </xf>
    <xf numFmtId="0" fontId="0" fillId="33" borderId="10" xfId="0" applyFill="1" applyBorder="1"/>
    <xf numFmtId="0" fontId="16" fillId="33" borderId="12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/>
    </xf>
    <xf numFmtId="0" fontId="0" fillId="33" borderId="0" xfId="0" applyFill="1"/>
    <xf numFmtId="164" fontId="0" fillId="0" borderId="0" xfId="0" applyNumberFormat="1"/>
    <xf numFmtId="2" fontId="0" fillId="34" borderId="0" xfId="42" applyNumberFormat="1" applyFont="1" applyFill="1" applyAlignment="1">
      <alignment horizontal="center" vertical="center"/>
    </xf>
    <xf numFmtId="2" fontId="0" fillId="34" borderId="10" xfId="42" applyNumberFormat="1" applyFont="1" applyFill="1" applyBorder="1" applyAlignment="1">
      <alignment horizontal="center" vertical="center"/>
    </xf>
    <xf numFmtId="2" fontId="0" fillId="35" borderId="0" xfId="42" applyNumberFormat="1" applyFont="1" applyFill="1" applyAlignment="1">
      <alignment horizontal="center" vertical="center"/>
    </xf>
    <xf numFmtId="2" fontId="0" fillId="35" borderId="10" xfId="42" applyNumberFormat="1" applyFont="1" applyFill="1" applyBorder="1" applyAlignment="1">
      <alignment horizontal="center" vertical="center"/>
    </xf>
    <xf numFmtId="2" fontId="0" fillId="36" borderId="0" xfId="42" applyNumberFormat="1" applyFont="1" applyFill="1" applyAlignment="1">
      <alignment horizontal="center" vertical="center"/>
    </xf>
    <xf numFmtId="2" fontId="0" fillId="36" borderId="10" xfId="42" applyNumberFormat="1" applyFont="1" applyFill="1" applyBorder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 wrapText="1"/>
    </xf>
    <xf numFmtId="0" fontId="16" fillId="35" borderId="0" xfId="0" applyFont="1" applyFill="1" applyAlignment="1">
      <alignment horizontal="center" vertical="center"/>
    </xf>
    <xf numFmtId="0" fontId="16" fillId="36" borderId="0" xfId="0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A439-1D13-4F51-81B9-14A15BB4D27C}">
  <dimension ref="A1:S14"/>
  <sheetViews>
    <sheetView tabSelected="1" zoomScale="85" zoomScaleNormal="85" workbookViewId="0">
      <selection activeCell="G26" sqref="G26"/>
    </sheetView>
  </sheetViews>
  <sheetFormatPr defaultRowHeight="14.4" x14ac:dyDescent="0.3"/>
  <cols>
    <col min="2" max="2" width="19.109375" customWidth="1"/>
    <col min="9" max="9" width="9.6640625" customWidth="1"/>
    <col min="10" max="10" width="13.109375" customWidth="1"/>
  </cols>
  <sheetData>
    <row r="1" spans="1:19" x14ac:dyDescent="0.3">
      <c r="A1" s="9"/>
      <c r="B1" s="2"/>
      <c r="C1" s="17" t="s">
        <v>0</v>
      </c>
      <c r="D1" s="17"/>
      <c r="E1" s="18"/>
      <c r="F1" s="19" t="s">
        <v>1</v>
      </c>
      <c r="G1" s="17"/>
      <c r="H1" s="18"/>
      <c r="I1" s="1"/>
      <c r="J1" s="1"/>
    </row>
    <row r="2" spans="1:19" ht="28.8" x14ac:dyDescent="0.3">
      <c r="A2" s="3" t="s">
        <v>15</v>
      </c>
      <c r="B2" s="4" t="s">
        <v>14</v>
      </c>
      <c r="C2" s="3" t="s">
        <v>2</v>
      </c>
      <c r="D2" s="3" t="s">
        <v>3</v>
      </c>
      <c r="E2" s="4" t="s">
        <v>4</v>
      </c>
      <c r="F2" s="3" t="s">
        <v>2</v>
      </c>
      <c r="G2" s="3" t="s">
        <v>3</v>
      </c>
      <c r="H2" s="4" t="s">
        <v>4</v>
      </c>
      <c r="I2" s="5" t="s">
        <v>5</v>
      </c>
      <c r="J2" s="5" t="s">
        <v>6</v>
      </c>
      <c r="L2" t="s">
        <v>16</v>
      </c>
      <c r="M2" t="s">
        <v>17</v>
      </c>
      <c r="O2" t="s">
        <v>18</v>
      </c>
    </row>
    <row r="3" spans="1:19" x14ac:dyDescent="0.3">
      <c r="A3" s="20" t="s">
        <v>7</v>
      </c>
      <c r="B3" s="6" t="s">
        <v>8</v>
      </c>
      <c r="C3" s="11">
        <v>0.82910228572052902</v>
      </c>
      <c r="D3" s="11">
        <v>0.87518168066670698</v>
      </c>
      <c r="E3" s="12">
        <v>0.71348442260977596</v>
      </c>
      <c r="F3" s="11">
        <v>0.68462611429093501</v>
      </c>
      <c r="G3" s="11">
        <v>0.75354751344306303</v>
      </c>
      <c r="H3" s="12">
        <v>0.50466396182374396</v>
      </c>
      <c r="I3" s="11">
        <v>0.226729554818831</v>
      </c>
      <c r="J3" s="11">
        <v>6.2884136839208599E-2</v>
      </c>
      <c r="L3" s="10">
        <f>D3-C3</f>
        <v>4.6079394946177965E-2</v>
      </c>
      <c r="M3" s="10">
        <f>G3-F3</f>
        <v>6.8921399152128027E-2</v>
      </c>
      <c r="O3" s="10">
        <f>D3-E3</f>
        <v>0.16169725805693103</v>
      </c>
      <c r="P3" s="10">
        <f>AVERAGE(O3:O14)</f>
        <v>0.16934776580667585</v>
      </c>
      <c r="R3" s="10">
        <f>G3-H3</f>
        <v>0.24888355161931908</v>
      </c>
      <c r="S3" s="10">
        <f>AVERAGE(R3:R14)</f>
        <v>0.20871235821185166</v>
      </c>
    </row>
    <row r="4" spans="1:19" x14ac:dyDescent="0.3">
      <c r="A4" s="20"/>
      <c r="B4" s="6" t="s">
        <v>9</v>
      </c>
      <c r="C4" s="11">
        <v>0.59657209217114104</v>
      </c>
      <c r="D4" s="11">
        <v>0.70970536973549603</v>
      </c>
      <c r="E4" s="12">
        <v>0.51841935959415597</v>
      </c>
      <c r="F4" s="11">
        <v>0.41984761229761403</v>
      </c>
      <c r="G4" s="11">
        <v>0.52206508629227999</v>
      </c>
      <c r="H4" s="12">
        <v>0.312430892466738</v>
      </c>
      <c r="I4" s="11">
        <v>0.48500911827536097</v>
      </c>
      <c r="J4" s="11">
        <v>0.126053806581373</v>
      </c>
      <c r="L4" s="10">
        <f t="shared" ref="L4:L14" si="0">D4-C4</f>
        <v>0.11313327756435498</v>
      </c>
      <c r="M4" s="10">
        <f t="shared" ref="M4:M14" si="1">G4-F4</f>
        <v>0.10221747399466596</v>
      </c>
      <c r="O4" s="10">
        <f t="shared" ref="O4:O14" si="2">D4-E4</f>
        <v>0.19128601014134006</v>
      </c>
      <c r="R4" s="10">
        <f t="shared" ref="R4:R14" si="3">G4-H4</f>
        <v>0.20963419382554199</v>
      </c>
    </row>
    <row r="5" spans="1:19" x14ac:dyDescent="0.3">
      <c r="A5" s="20"/>
      <c r="B5" s="6" t="s">
        <v>10</v>
      </c>
      <c r="C5" s="11">
        <v>0.58606370932740104</v>
      </c>
      <c r="D5" s="11">
        <v>0.72766497570439204</v>
      </c>
      <c r="E5" s="12">
        <v>0.550258030487358</v>
      </c>
      <c r="F5" s="11">
        <v>0.416949905618685</v>
      </c>
      <c r="G5" s="11">
        <v>0.54251101959847303</v>
      </c>
      <c r="H5" s="12">
        <v>0.34310145504461398</v>
      </c>
      <c r="I5" s="11">
        <v>0.49649464581394598</v>
      </c>
      <c r="J5" s="11">
        <v>0.13584274014601999</v>
      </c>
      <c r="L5" s="10">
        <f t="shared" si="0"/>
        <v>0.141601266376991</v>
      </c>
      <c r="M5" s="10">
        <f t="shared" si="1"/>
        <v>0.12556111397978803</v>
      </c>
      <c r="O5" s="10">
        <f t="shared" si="2"/>
        <v>0.17740694521703404</v>
      </c>
      <c r="R5" s="10">
        <f t="shared" si="3"/>
        <v>0.19940956455385905</v>
      </c>
    </row>
    <row r="6" spans="1:19" x14ac:dyDescent="0.3">
      <c r="A6" s="20"/>
      <c r="B6" s="6" t="s">
        <v>11</v>
      </c>
      <c r="C6" s="11">
        <v>0.48406047561342302</v>
      </c>
      <c r="D6" s="11">
        <v>0.64676908080468798</v>
      </c>
      <c r="E6" s="12">
        <v>0.469708276942853</v>
      </c>
      <c r="F6" s="11">
        <v>0.32309888669476</v>
      </c>
      <c r="G6" s="11">
        <v>0.449022451526355</v>
      </c>
      <c r="H6" s="12">
        <v>0.27089852183707003</v>
      </c>
      <c r="I6" s="11">
        <v>0.55440966826958904</v>
      </c>
      <c r="J6" s="11">
        <v>0.15995786273846599</v>
      </c>
      <c r="L6" s="10">
        <f t="shared" si="0"/>
        <v>0.16270860519126495</v>
      </c>
      <c r="M6" s="10">
        <f t="shared" si="1"/>
        <v>0.125923564831595</v>
      </c>
      <c r="O6" s="10">
        <f t="shared" si="2"/>
        <v>0.17706080386183498</v>
      </c>
      <c r="R6" s="10">
        <f t="shared" si="3"/>
        <v>0.17812392968928498</v>
      </c>
    </row>
    <row r="7" spans="1:19" x14ac:dyDescent="0.3">
      <c r="A7" s="21" t="s">
        <v>12</v>
      </c>
      <c r="B7" s="7" t="s">
        <v>8</v>
      </c>
      <c r="C7" s="13">
        <v>0.87895392114230697</v>
      </c>
      <c r="D7" s="13">
        <v>0.88329388377998597</v>
      </c>
      <c r="E7" s="14">
        <v>0.70642399030440906</v>
      </c>
      <c r="F7" s="13">
        <v>0.75284203306015096</v>
      </c>
      <c r="G7" s="13">
        <v>0.75859495185863302</v>
      </c>
      <c r="H7" s="14">
        <v>0.50909788347103502</v>
      </c>
      <c r="I7" s="13">
        <v>0.122472498492445</v>
      </c>
      <c r="J7" s="13">
        <v>1.3033769836369599E-2</v>
      </c>
      <c r="L7" s="10">
        <f t="shared" si="0"/>
        <v>4.3399626376789957E-3</v>
      </c>
      <c r="M7" s="10">
        <f t="shared" si="1"/>
        <v>5.752918798482054E-3</v>
      </c>
      <c r="O7" s="10">
        <f t="shared" si="2"/>
        <v>0.17686989347557691</v>
      </c>
      <c r="R7" s="10">
        <f t="shared" si="3"/>
        <v>0.249497068387598</v>
      </c>
    </row>
    <row r="8" spans="1:19" x14ac:dyDescent="0.3">
      <c r="A8" s="21"/>
      <c r="B8" s="7" t="s">
        <v>9</v>
      </c>
      <c r="C8" s="13">
        <v>0.623674408794058</v>
      </c>
      <c r="D8" s="13">
        <v>0.70285309909093197</v>
      </c>
      <c r="E8" s="14">
        <v>0.47660556060370202</v>
      </c>
      <c r="F8" s="13">
        <v>0.42909225243210602</v>
      </c>
      <c r="G8" s="13">
        <v>0.50445133154938404</v>
      </c>
      <c r="H8" s="14">
        <v>0.283973718354045</v>
      </c>
      <c r="I8" s="13">
        <v>0.44193522557342002</v>
      </c>
      <c r="J8" s="13">
        <v>6.8880716230237296E-2</v>
      </c>
      <c r="L8" s="10">
        <f t="shared" si="0"/>
        <v>7.9178690296873966E-2</v>
      </c>
      <c r="M8" s="10">
        <f t="shared" si="1"/>
        <v>7.5359079117278016E-2</v>
      </c>
      <c r="O8" s="10">
        <f t="shared" si="2"/>
        <v>0.22624753848722995</v>
      </c>
      <c r="R8" s="10">
        <f t="shared" si="3"/>
        <v>0.22047761319533904</v>
      </c>
    </row>
    <row r="9" spans="1:19" x14ac:dyDescent="0.3">
      <c r="A9" s="21"/>
      <c r="B9" s="7" t="s">
        <v>10</v>
      </c>
      <c r="C9" s="13">
        <v>0.59916852419303601</v>
      </c>
      <c r="D9" s="13">
        <v>0.73029874503888703</v>
      </c>
      <c r="E9" s="14">
        <v>0.54864483048659596</v>
      </c>
      <c r="F9" s="13">
        <v>0.42547270375137303</v>
      </c>
      <c r="G9" s="13">
        <v>0.52985714309334397</v>
      </c>
      <c r="H9" s="14">
        <v>0.34649620176503798</v>
      </c>
      <c r="I9" s="13">
        <v>0.45659600389921101</v>
      </c>
      <c r="J9" s="13">
        <v>0.118862068126974</v>
      </c>
      <c r="L9" s="10">
        <f t="shared" si="0"/>
        <v>0.13113022084585102</v>
      </c>
      <c r="M9" s="10">
        <f t="shared" si="1"/>
        <v>0.10438443934197095</v>
      </c>
      <c r="O9" s="10">
        <f t="shared" si="2"/>
        <v>0.18165391455229107</v>
      </c>
      <c r="R9" s="10">
        <f t="shared" si="3"/>
        <v>0.18336094132830599</v>
      </c>
    </row>
    <row r="10" spans="1:19" x14ac:dyDescent="0.3">
      <c r="A10" s="21"/>
      <c r="B10" s="7" t="s">
        <v>11</v>
      </c>
      <c r="C10" s="13">
        <v>0.48811801183699199</v>
      </c>
      <c r="D10" s="13">
        <v>0.63965980399543898</v>
      </c>
      <c r="E10" s="14">
        <v>0.432476780821966</v>
      </c>
      <c r="F10" s="13">
        <v>0.316997021737842</v>
      </c>
      <c r="G10" s="13">
        <v>0.42178182227883698</v>
      </c>
      <c r="H10" s="14">
        <v>0.24293657735344501</v>
      </c>
      <c r="I10" s="13">
        <v>0.51129361073128599</v>
      </c>
      <c r="J10" s="13">
        <v>0.13564201119457001</v>
      </c>
      <c r="L10" s="10">
        <f t="shared" si="0"/>
        <v>0.15154179215844699</v>
      </c>
      <c r="M10" s="10">
        <f t="shared" si="1"/>
        <v>0.10478480054099498</v>
      </c>
      <c r="O10" s="10">
        <f t="shared" si="2"/>
        <v>0.20718302317347298</v>
      </c>
      <c r="R10" s="10">
        <f t="shared" si="3"/>
        <v>0.17884524492539197</v>
      </c>
    </row>
    <row r="11" spans="1:19" x14ac:dyDescent="0.3">
      <c r="A11" s="22" t="s">
        <v>13</v>
      </c>
      <c r="B11" s="8" t="s">
        <v>8</v>
      </c>
      <c r="C11" s="15">
        <v>0.72938911099559101</v>
      </c>
      <c r="D11" s="15">
        <v>0.85706452023082502</v>
      </c>
      <c r="E11" s="16">
        <v>0.72767718567330697</v>
      </c>
      <c r="F11" s="15">
        <v>0.54863139470958</v>
      </c>
      <c r="G11" s="15">
        <v>0.74103366256652303</v>
      </c>
      <c r="H11" s="16">
        <v>0.49634661485700599</v>
      </c>
      <c r="I11" s="15">
        <v>0.43167351686120198</v>
      </c>
      <c r="J11" s="15">
        <v>0.14348447000894801</v>
      </c>
      <c r="L11" s="10">
        <f t="shared" si="0"/>
        <v>0.12767540923523402</v>
      </c>
      <c r="M11" s="10">
        <f t="shared" si="1"/>
        <v>0.19240226785694303</v>
      </c>
      <c r="O11" s="10">
        <f t="shared" si="2"/>
        <v>0.12938733455751805</v>
      </c>
      <c r="R11" s="10">
        <f t="shared" si="3"/>
        <v>0.24468704770951705</v>
      </c>
    </row>
    <row r="12" spans="1:19" x14ac:dyDescent="0.3">
      <c r="A12" s="22"/>
      <c r="B12" s="8" t="s">
        <v>9</v>
      </c>
      <c r="C12" s="15">
        <v>0.54313331887250405</v>
      </c>
      <c r="D12" s="15">
        <v>0.72146806712318001</v>
      </c>
      <c r="E12" s="16">
        <v>0.60093347145918496</v>
      </c>
      <c r="F12" s="15">
        <v>0.40159795279536598</v>
      </c>
      <c r="G12" s="15">
        <v>0.55549966528166805</v>
      </c>
      <c r="H12" s="16">
        <v>0.36887128864687801</v>
      </c>
      <c r="I12" s="15">
        <v>0.56661502530021801</v>
      </c>
      <c r="J12" s="15">
        <v>0.21675986252473101</v>
      </c>
      <c r="L12" s="10">
        <f t="shared" si="0"/>
        <v>0.17833474825067597</v>
      </c>
      <c r="M12" s="10">
        <f t="shared" si="1"/>
        <v>0.15390171248630208</v>
      </c>
      <c r="O12" s="10">
        <f t="shared" si="2"/>
        <v>0.12053459566399505</v>
      </c>
      <c r="R12" s="10">
        <f t="shared" si="3"/>
        <v>0.18662837663479004</v>
      </c>
    </row>
    <row r="13" spans="1:19" x14ac:dyDescent="0.3">
      <c r="A13" s="22"/>
      <c r="B13" s="8" t="s">
        <v>10</v>
      </c>
      <c r="C13" s="15">
        <v>0.55871314825965201</v>
      </c>
      <c r="D13" s="15">
        <v>0.72012405147556602</v>
      </c>
      <c r="E13" s="16">
        <v>0.552621368119107</v>
      </c>
      <c r="F13" s="15">
        <v>0.39923529015778503</v>
      </c>
      <c r="G13" s="15">
        <v>0.56574270070945298</v>
      </c>
      <c r="H13" s="16">
        <v>0.335816918422224</v>
      </c>
      <c r="I13" s="15">
        <v>0.57974243517871005</v>
      </c>
      <c r="J13" s="15">
        <v>0.16611507920523599</v>
      </c>
      <c r="L13" s="10">
        <f t="shared" si="0"/>
        <v>0.161410903215914</v>
      </c>
      <c r="M13" s="10">
        <f t="shared" si="1"/>
        <v>0.16650741055166796</v>
      </c>
      <c r="O13" s="10">
        <f t="shared" si="2"/>
        <v>0.16750268335645901</v>
      </c>
      <c r="R13" s="10">
        <f t="shared" si="3"/>
        <v>0.22992578228722899</v>
      </c>
    </row>
    <row r="14" spans="1:19" x14ac:dyDescent="0.3">
      <c r="A14" s="22"/>
      <c r="B14" s="8" t="s">
        <v>11</v>
      </c>
      <c r="C14" s="15">
        <v>0.47577733190221</v>
      </c>
      <c r="D14" s="15">
        <v>0.65954283833665595</v>
      </c>
      <c r="E14" s="16">
        <v>0.54419964920022901</v>
      </c>
      <c r="F14" s="15">
        <v>0.33501144400106198</v>
      </c>
      <c r="G14" s="15">
        <v>0.50197698858217799</v>
      </c>
      <c r="H14" s="16">
        <v>0.32690200419613402</v>
      </c>
      <c r="I14" s="15">
        <v>0.64246519116343603</v>
      </c>
      <c r="J14" s="15">
        <v>0.20205214288791501</v>
      </c>
      <c r="L14" s="10">
        <f t="shared" si="0"/>
        <v>0.18376550643444595</v>
      </c>
      <c r="M14" s="10">
        <f t="shared" si="1"/>
        <v>0.16696554458111601</v>
      </c>
      <c r="O14" s="10">
        <f t="shared" si="2"/>
        <v>0.11534318913642694</v>
      </c>
      <c r="R14" s="10">
        <f t="shared" si="3"/>
        <v>0.17507498438604396</v>
      </c>
    </row>
  </sheetData>
  <mergeCells count="5">
    <mergeCell ref="C1:E1"/>
    <mergeCell ref="F1:H1"/>
    <mergeCell ref="A3:A6"/>
    <mergeCell ref="A7:A10"/>
    <mergeCell ref="A11:A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improvements formated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Arndt</cp:lastModifiedBy>
  <dcterms:created xsi:type="dcterms:W3CDTF">2025-11-12T19:00:37Z</dcterms:created>
  <dcterms:modified xsi:type="dcterms:W3CDTF">2026-04-01T20:59:02Z</dcterms:modified>
</cp:coreProperties>
</file>